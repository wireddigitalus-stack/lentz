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Jq8Fv5b0JVyjd3EFwbzujPFxxoM8Y/hGFItsMOG8Dc="/>
    </ext>
  </extLst>
</workbook>
</file>

<file path=xl/sharedStrings.xml><?xml version="1.0" encoding="utf-8"?>
<sst xmlns="http://schemas.openxmlformats.org/spreadsheetml/2006/main" count="40" uniqueCount="40">
  <si>
    <t xml:space="preserve">Barrel Length  </t>
  </si>
  <si>
    <t xml:space="preserve">Harmonic  9th </t>
  </si>
  <si>
    <t>End Diameter</t>
  </si>
  <si>
    <t>End Correction</t>
  </si>
  <si>
    <t xml:space="preserve">Tuner Dimension </t>
  </si>
  <si>
    <t>Harmonic  11th</t>
  </si>
  <si>
    <t>Harmonic 3rd (Long Tube)</t>
  </si>
  <si>
    <t>11th Qtr Harmonic (Short)</t>
  </si>
  <si>
    <t>13th Qtr Harmonic (Short)</t>
  </si>
  <si>
    <t>Chacon correction   .295 +.027</t>
  </si>
  <si>
    <t>Purdy Correction   .300</t>
  </si>
  <si>
    <t>JMP correction   .264</t>
  </si>
  <si>
    <t>Chacon Numbers</t>
  </si>
  <si>
    <t>27" = 3.126</t>
  </si>
  <si>
    <t>HellCat 1.0045</t>
  </si>
  <si>
    <t>26" = 3.001</t>
  </si>
  <si>
    <t>24.241 8gr</t>
  </si>
  <si>
    <t>2.676c/9.038c  2.530a/9.070</t>
  </si>
  <si>
    <t>11.600a vs 11.714c</t>
  </si>
  <si>
    <t>25" = 2.876</t>
  </si>
  <si>
    <t>24.183 8gr2</t>
  </si>
  <si>
    <t xml:space="preserve"> 2.669c/9.016c  2.462a/9.070</t>
  </si>
  <si>
    <t>11.531a vs 11.685c</t>
  </si>
  <si>
    <t>24" = 2.751</t>
  </si>
  <si>
    <t xml:space="preserve">25.057 Octogon </t>
  </si>
  <si>
    <t>2.886/9.237c</t>
  </si>
  <si>
    <t>23" = 2.626</t>
  </si>
  <si>
    <t>22" = 2.501</t>
  </si>
  <si>
    <t>My Tube  9.070</t>
  </si>
  <si>
    <t>21" = 2.376</t>
  </si>
  <si>
    <t xml:space="preserve">24"=242(PQP) 8.953 tube </t>
  </si>
  <si>
    <t>20" = 2.247</t>
  </si>
  <si>
    <t>24.5" =305(PQP) 9.140 tube</t>
  </si>
  <si>
    <t>.125 = 1.00</t>
  </si>
  <si>
    <t>25"=369(PQP) 9.328 tube</t>
  </si>
  <si>
    <t>.048 = .375</t>
  </si>
  <si>
    <t>.016 = .125</t>
  </si>
  <si>
    <t>.008 = .063</t>
  </si>
  <si>
    <t>Papas Short = 8.597</t>
  </si>
  <si>
    <t>Added . 027 to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</si>
</sst>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E+00"/>
    <numFmt numFmtId="165" formatCode="0.000"/>
    <numFmt numFmtId="166" formatCode="_(* #,##0.000_);_(* \(#,##0.000\);_(* &quot;-&quot;??_);_(@_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0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1" fillId="0" fontId="2" numFmtId="0" xfId="0" applyBorder="1" applyFont="1"/>
    <xf borderId="1" fillId="0" fontId="2" numFmtId="164" xfId="0" applyBorder="1" applyFont="1" applyNumberFormat="1"/>
    <xf borderId="1" fillId="2" fontId="2" numFmtId="165" xfId="0" applyAlignment="1" applyBorder="1" applyFill="1" applyFont="1" applyNumberFormat="1">
      <alignment horizontal="right"/>
    </xf>
    <xf borderId="1" fillId="0" fontId="2" numFmtId="166" xfId="0" applyBorder="1" applyFont="1" applyNumberFormat="1"/>
    <xf borderId="1" fillId="2" fontId="2" numFmtId="0" xfId="0" applyBorder="1" applyFont="1"/>
    <xf borderId="1" fillId="2" fontId="2" numFmtId="165" xfId="0" applyBorder="1" applyFont="1" applyNumberFormat="1"/>
    <xf borderId="2" fillId="2" fontId="2" numFmtId="165" xfId="0" applyBorder="1" applyFont="1" applyNumberFormat="1"/>
    <xf borderId="0" fillId="0" fontId="2" numFmtId="0" xfId="0" applyFont="1"/>
    <xf borderId="3" fillId="2" fontId="2" numFmtId="164" xfId="0" applyBorder="1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1" xfId="0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3.43"/>
    <col customWidth="1" min="3" max="3" width="13.57"/>
    <col customWidth="1" min="4" max="4" width="14.71"/>
    <col customWidth="1" min="5" max="5" width="21.29"/>
    <col customWidth="1" min="6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3">
        <v>24.241</v>
      </c>
      <c r="B2" s="4">
        <f>(A2/8)*9</f>
        <v>27.271125</v>
      </c>
      <c r="C2" s="3">
        <v>1.341</v>
      </c>
      <c r="D2" s="4">
        <f>+C2*0.264</f>
        <v>0.354024</v>
      </c>
      <c r="E2" s="4">
        <f>+B2-D2-A2</f>
        <v>2.676101</v>
      </c>
    </row>
    <row r="3" ht="14.25" customHeight="1">
      <c r="A3" s="5"/>
      <c r="B3" s="6" t="s">
        <v>5</v>
      </c>
      <c r="C3" s="5"/>
      <c r="D3" s="5"/>
      <c r="E3" s="5"/>
    </row>
    <row r="4" ht="14.25" customHeight="1">
      <c r="A4" s="7" t="str">
        <f>IMPRODUCT(A2)</f>
        <v>24.241</v>
      </c>
      <c r="B4" s="8">
        <f>+(A4/10)*11</f>
        <v>26.6651</v>
      </c>
      <c r="C4" s="4">
        <v>1.34</v>
      </c>
      <c r="D4" s="4">
        <f>+C4*0.264</f>
        <v>0.35376</v>
      </c>
      <c r="E4" s="4">
        <f>+B4-D4-A4</f>
        <v>2.07034</v>
      </c>
    </row>
    <row r="5" ht="14.25" customHeight="1">
      <c r="A5" s="9"/>
      <c r="B5" s="6" t="s">
        <v>6</v>
      </c>
      <c r="C5" s="5"/>
      <c r="D5" s="5"/>
      <c r="E5" s="5"/>
    </row>
    <row r="6" ht="14.25" customHeight="1">
      <c r="A6" s="7" t="str">
        <f>IMPRODUCT(A2)</f>
        <v>24.241</v>
      </c>
      <c r="B6" s="4">
        <f>(A6/2)*3</f>
        <v>36.3615</v>
      </c>
      <c r="C6" s="4">
        <v>1.54</v>
      </c>
      <c r="D6" s="4">
        <f>+C6*0.264</f>
        <v>0.40656</v>
      </c>
      <c r="E6" s="4">
        <f>+B6-D6-A6</f>
        <v>11.71394</v>
      </c>
      <c r="F6" s="4">
        <f>E6-E2</f>
        <v>9.037839</v>
      </c>
    </row>
    <row r="7" ht="14.25" customHeight="1">
      <c r="A7" s="10"/>
      <c r="B7" s="4" t="s">
        <v>7</v>
      </c>
      <c r="C7" s="4"/>
      <c r="D7" s="4"/>
      <c r="E7" s="4"/>
    </row>
    <row r="8" ht="14.25" customHeight="1">
      <c r="A8" s="7" t="str">
        <f>IMPRODUCT(A2)</f>
        <v>24.241</v>
      </c>
      <c r="B8" s="4">
        <f>(A8/8)*11</f>
        <v>33.331375</v>
      </c>
      <c r="C8" s="4">
        <v>1.54</v>
      </c>
      <c r="D8" s="4">
        <f>+C8*0.264</f>
        <v>0.40656</v>
      </c>
      <c r="E8" s="4">
        <f>+B8-D8-A8</f>
        <v>8.683815</v>
      </c>
      <c r="F8" s="4">
        <f>E8-E2</f>
        <v>6.007714</v>
      </c>
    </row>
    <row r="9" ht="14.25" customHeight="1">
      <c r="A9" s="11"/>
      <c r="B9" s="4" t="s">
        <v>8</v>
      </c>
      <c r="C9" s="4"/>
      <c r="D9" s="4"/>
      <c r="E9" s="4"/>
    </row>
    <row r="10" ht="14.25" customHeight="1">
      <c r="A10" s="7" t="str">
        <f>IMPRODUCT(A2)</f>
        <v>24.241</v>
      </c>
      <c r="B10" s="4">
        <f>(A10/10)*13</f>
        <v>31.5133</v>
      </c>
      <c r="C10" s="3">
        <v>0.74</v>
      </c>
      <c r="D10" s="4">
        <f>+C10*0.264</f>
        <v>0.19536</v>
      </c>
      <c r="E10" s="4">
        <f>+B10-D10-A10</f>
        <v>7.07694</v>
      </c>
      <c r="F10" s="4">
        <f>E10-E2</f>
        <v>4.400839</v>
      </c>
    </row>
    <row r="11" ht="14.25" customHeight="1">
      <c r="A11" s="4"/>
      <c r="B11" s="4"/>
      <c r="C11" s="4"/>
      <c r="D11" s="4"/>
      <c r="E11" s="4"/>
    </row>
    <row r="12" ht="14.25" customHeight="1">
      <c r="A12" s="12"/>
      <c r="B12" s="2"/>
      <c r="D12" s="1" t="s">
        <v>9</v>
      </c>
    </row>
    <row r="13" ht="14.25" customHeight="1">
      <c r="B13" s="2"/>
      <c r="D13" s="1" t="s">
        <v>10</v>
      </c>
    </row>
    <row r="14" ht="14.25" customHeight="1">
      <c r="B14" s="2"/>
      <c r="D14" s="1" t="s">
        <v>11</v>
      </c>
    </row>
    <row r="15" ht="14.25" customHeight="1">
      <c r="B15" s="13"/>
    </row>
    <row r="16" ht="14.25" customHeight="1">
      <c r="A16" s="1" t="s">
        <v>12</v>
      </c>
      <c r="B16" s="2"/>
    </row>
    <row r="17" ht="14.25" customHeight="1">
      <c r="A17" s="1" t="s">
        <v>13</v>
      </c>
      <c r="B17" s="2"/>
      <c r="D17" s="1" t="s">
        <v>14</v>
      </c>
    </row>
    <row r="18" ht="14.25" customHeight="1">
      <c r="A18" s="1" t="s">
        <v>15</v>
      </c>
      <c r="B18" s="2"/>
      <c r="D18" s="1" t="s">
        <v>16</v>
      </c>
      <c r="E18" s="14" t="s">
        <v>17</v>
      </c>
      <c r="G18" s="14" t="s">
        <v>18</v>
      </c>
    </row>
    <row r="19" ht="14.25" customHeight="1">
      <c r="A19" s="1" t="s">
        <v>19</v>
      </c>
      <c r="B19" s="2"/>
      <c r="C19" s="14">
        <v>-0.058</v>
      </c>
      <c r="D19" s="14" t="s">
        <v>20</v>
      </c>
      <c r="E19" s="14" t="s">
        <v>21</v>
      </c>
      <c r="G19" s="14" t="s">
        <v>22</v>
      </c>
      <c r="I19" s="14">
        <v>-0.068</v>
      </c>
    </row>
    <row r="20" ht="14.25" customHeight="1">
      <c r="A20" s="1" t="s">
        <v>23</v>
      </c>
      <c r="B20" s="2"/>
      <c r="D20" s="15" t="s">
        <v>24</v>
      </c>
      <c r="E20" s="14" t="s">
        <v>25</v>
      </c>
    </row>
    <row r="21" ht="14.25" customHeight="1">
      <c r="A21" s="1" t="s">
        <v>26</v>
      </c>
      <c r="B21" s="2"/>
    </row>
    <row r="22" ht="14.25" customHeight="1">
      <c r="A22" s="1" t="s">
        <v>27</v>
      </c>
      <c r="B22" s="2"/>
      <c r="E22" s="14" t="s">
        <v>28</v>
      </c>
    </row>
    <row r="23" ht="14.25" customHeight="1">
      <c r="A23" s="1" t="s">
        <v>29</v>
      </c>
      <c r="B23" s="2"/>
      <c r="D23" s="14" t="s">
        <v>30</v>
      </c>
    </row>
    <row r="24" ht="14.25" customHeight="1">
      <c r="A24" s="1" t="s">
        <v>31</v>
      </c>
      <c r="B24" s="2"/>
      <c r="D24" s="14" t="s">
        <v>32</v>
      </c>
    </row>
    <row r="25" ht="14.25" customHeight="1">
      <c r="A25" s="1" t="s">
        <v>33</v>
      </c>
      <c r="B25" s="2"/>
      <c r="D25" s="16" t="s">
        <v>34</v>
      </c>
    </row>
    <row r="26" ht="14.25" customHeight="1">
      <c r="A26" s="1" t="s">
        <v>35</v>
      </c>
      <c r="B26" s="2"/>
    </row>
    <row r="27" ht="14.25" customHeight="1">
      <c r="A27" s="1" t="s">
        <v>36</v>
      </c>
      <c r="B27" s="2"/>
    </row>
    <row r="28" ht="14.25" customHeight="1">
      <c r="A28" s="1" t="s">
        <v>37</v>
      </c>
      <c r="B28" s="2"/>
    </row>
    <row r="29" ht="14.25" customHeight="1">
      <c r="B29" s="2"/>
    </row>
    <row r="30" ht="14.25" customHeight="1">
      <c r="A30" s="1" t="s">
        <v>38</v>
      </c>
      <c r="B30" s="2"/>
    </row>
    <row r="31" ht="14.25" customHeight="1">
      <c r="A31" s="1" t="s">
        <v>39</v>
      </c>
      <c r="B31" s="2"/>
    </row>
    <row r="32" ht="14.25" customHeight="1">
      <c r="B32" s="2"/>
    </row>
    <row r="33" ht="14.25" customHeight="1">
      <c r="B33" s="2"/>
    </row>
    <row r="34" ht="14.25" customHeight="1">
      <c r="A34" s="17">
        <f t="shared" ref="A34:A43" si="1">(B34+300)*3.281</f>
        <v>1053.201</v>
      </c>
      <c r="B34" s="17">
        <v>21.0</v>
      </c>
    </row>
    <row r="35" ht="14.25" customHeight="1">
      <c r="A35" s="17">
        <f t="shared" si="1"/>
        <v>1056.482</v>
      </c>
      <c r="B35" s="17">
        <v>22.0</v>
      </c>
    </row>
    <row r="36" ht="14.25" customHeight="1">
      <c r="A36" s="17">
        <f t="shared" si="1"/>
        <v>1059.763</v>
      </c>
      <c r="B36" s="17">
        <v>23.0</v>
      </c>
    </row>
    <row r="37" ht="14.25" customHeight="1">
      <c r="A37" s="17">
        <f t="shared" si="1"/>
        <v>1063.044</v>
      </c>
      <c r="B37" s="17">
        <v>24.0</v>
      </c>
    </row>
    <row r="38" ht="14.25" customHeight="1">
      <c r="A38" s="17">
        <f t="shared" si="1"/>
        <v>1066.325</v>
      </c>
      <c r="B38" s="17">
        <v>25.0</v>
      </c>
    </row>
    <row r="39" ht="14.25" customHeight="1">
      <c r="A39" s="17">
        <f t="shared" si="1"/>
        <v>1069.606</v>
      </c>
      <c r="B39" s="17">
        <v>26.0</v>
      </c>
    </row>
    <row r="40" ht="14.25" customHeight="1">
      <c r="A40" s="17">
        <f t="shared" si="1"/>
        <v>1072.887</v>
      </c>
      <c r="B40" s="17">
        <v>27.0</v>
      </c>
    </row>
    <row r="41" ht="14.25" customHeight="1">
      <c r="A41" s="17">
        <f t="shared" si="1"/>
        <v>1076.168</v>
      </c>
      <c r="B41" s="17">
        <v>28.0</v>
      </c>
    </row>
    <row r="42" ht="14.25" customHeight="1">
      <c r="A42" s="17">
        <f t="shared" si="1"/>
        <v>1079.449</v>
      </c>
      <c r="B42" s="17">
        <v>29.0</v>
      </c>
    </row>
    <row r="43" ht="14.25" customHeight="1">
      <c r="A43" s="17">
        <f t="shared" si="1"/>
        <v>1082.73</v>
      </c>
      <c r="B43" s="17">
        <v>30.0</v>
      </c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conditionalFormatting sqref="A2">
    <cfRule type="cellIs" dxfId="0" priority="1" operator="equal">
      <formula>$A$6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2024-03-29T11:48:55Z</dcterms:created>
  <dc:creator>Mohr, Jeremiah (FPI)</dc:creator>
</cp:coreProperties>
</file>